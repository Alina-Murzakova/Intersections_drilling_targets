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8042" yWindow="0" windowWidth="23067" windowHeight="9632"/>
  </bookViews>
  <sheets>
    <sheet name="База перспективы" sheetId="1" r:id="rId1"/>
    <sheet name="Статистика" sheetId="40" r:id="rId2"/>
  </sheets>
  <functionGroups builtInGroupCount="18"/>
  <definedNames>
    <definedName name="_xlnm._FilterDatabase" localSheetId="0" hidden="1">'База перспективы'!$A$4:$T$30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1" l="1"/>
</calcChain>
</file>

<file path=xl/comments1.xml><?xml version="1.0" encoding="utf-8"?>
<comments xmlns="http://schemas.openxmlformats.org/spreadsheetml/2006/main">
  <authors>
    <author>Автор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3 допустимых значения:
доб
наг
pl - не учитываются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<sst xmlns="http://schemas.openxmlformats.org/spreadsheetml/2006/main" count="127" uniqueCount="30">
  <si>
    <t xml:space="preserve">Сетка: </t>
  </si>
  <si>
    <t>T1</t>
  </si>
  <si>
    <t>T3</t>
  </si>
  <si>
    <t>Команда</t>
  </si>
  <si>
    <t>Месторождение</t>
  </si>
  <si>
    <t>КП</t>
  </si>
  <si>
    <t>Объект</t>
  </si>
  <si>
    <t>Назначение</t>
  </si>
  <si>
    <t>Скважина - Забой</t>
  </si>
  <si>
    <t>X</t>
  </si>
  <si>
    <t>Y</t>
  </si>
  <si>
    <t>Ю1</t>
  </si>
  <si>
    <t>Комментарий</t>
  </si>
  <si>
    <t>Z</t>
  </si>
  <si>
    <t>БП17</t>
  </si>
  <si>
    <t>2й ствол</t>
  </si>
  <si>
    <t>33Б</t>
  </si>
  <si>
    <t>41Б</t>
  </si>
  <si>
    <t>1й ствол</t>
  </si>
  <si>
    <t>Разница абс. отметок, м</t>
  </si>
  <si>
    <t>Мин. расстояние, м</t>
  </si>
  <si>
    <t>Пересечения</t>
  </si>
  <si>
    <t>скв (команда/куст/объект)</t>
  </si>
  <si>
    <t>Количество пересечений</t>
  </si>
  <si>
    <t>Пересекающиеся команды</t>
  </si>
  <si>
    <t>Команда 1</t>
  </si>
  <si>
    <t>Месторождение X</t>
  </si>
  <si>
    <t>Команда 2</t>
  </si>
  <si>
    <t>6004 (Команда 1/ 56/ Ю1)</t>
  </si>
  <si>
    <t>6001 (Команда 1/ 56/ Ю1)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</si>
</sst>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164" fontId="0" fillId="0" borderId="0" xfId="0" applyNumberFormat="1" applyFill="1"/>
    <xf numFmtId="0" fontId="6" fillId="2" borderId="1" xfId="0" applyFont="1" applyFill="1" applyBorder="1" applyAlignment="1">
      <alignment horizontal="right" vertical="center"/>
    </xf>
    <xf numFmtId="0" fontId="5" fillId="3" borderId="0" xfId="0" applyFont="1" applyFill="1"/>
    <xf numFmtId="0" fontId="0" fillId="0" borderId="0" xfId="0" applyFill="1" applyAlignment="1"/>
    <xf numFmtId="0" fontId="0" fillId="0" borderId="0" xfId="0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Fill="1" applyAlignment="1">
      <alignment vertical="center"/>
    </xf>
    <xf numFmtId="164" fontId="7" fillId="0" borderId="0" xfId="0" applyNumberFormat="1" applyFont="1" applyFill="1" applyAlignment="1">
      <alignment vertical="center"/>
    </xf>
    <xf numFmtId="0" fontId="7" fillId="0" borderId="0" xfId="0" applyFont="1"/>
    <xf numFmtId="164" fontId="7" fillId="0" borderId="0" xfId="0" applyNumberFormat="1" applyFont="1" applyFill="1"/>
    <xf numFmtId="0" fontId="7" fillId="0" borderId="0" xfId="0" applyFont="1" applyFill="1"/>
    <xf numFmtId="1" fontId="0" fillId="0" borderId="0" xfId="0" applyNumberFormat="1"/>
    <xf numFmtId="0" fontId="5" fillId="0" borderId="0" xfId="0" applyFont="1"/>
    <xf numFmtId="0" fontId="5" fillId="4" borderId="0" xfId="0" applyFont="1" applyFill="1"/>
    <xf numFmtId="0" fontId="0" fillId="0" borderId="0" xfId="0" applyAlignment="1">
      <alignment horizontal="center" vertical="center" wrapText="1"/>
    </xf>
  </cellXfs>
  <cellStyles count="5">
    <cellStyle name="Обычный" xfId="0" builtinId="0"/>
    <cellStyle name="Обычный 2" xfId="1"/>
    <cellStyle name="Обычный 3" xfId="2"/>
    <cellStyle name="Обычный 4" xfId="3"/>
    <cellStyle name="Обычный 5" xf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A6D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448574</xdr:colOff>
          <xdr:row>0</xdr:row>
          <xdr:rowOff>0</xdr:rowOff>
        </xdr:from>
        <xdr:to>
          <xdr:col>5</xdr:col>
          <xdr:colOff>310551</xdr:colOff>
          <xdr:row>1</xdr:row>
          <xdr:rowOff>181155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пересечений целей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30"/>
  <sheetViews>
    <sheetView tabSelected="1" workbookViewId="0">
      <pane ySplit="4" topLeftCell="A5" activePane="bottomLeft" state="frozen"/>
      <selection pane="bottomLeft" activeCell="N20" sqref="N20"/>
    </sheetView>
  </sheetViews>
  <sheetFormatPr defaultRowHeight="14.3" x14ac:dyDescent="0.25"/>
  <cols>
    <col min="1" max="1" width="12.375" style="3" customWidth="1"/>
    <col min="2" max="2" width="22.75" customWidth="1"/>
    <col min="3" max="3" width="13.25" customWidth="1"/>
    <col min="4" max="4" width="11.125" customWidth="1"/>
    <col min="5" max="5" width="15.375" customWidth="1"/>
    <col min="6" max="6" width="20.375" style="1" customWidth="1"/>
    <col min="7" max="7" width="26.125" customWidth="1"/>
    <col min="8" max="8" width="11.625" customWidth="1"/>
    <col min="9" max="9" width="10.375" bestFit="1" customWidth="1"/>
    <col min="10" max="10" width="12.375" bestFit="1" customWidth="1"/>
    <col min="11" max="11" width="11" customWidth="1"/>
    <col min="12" max="12" width="10.375" bestFit="1" customWidth="1"/>
    <col min="13" max="13" width="16.125" customWidth="1"/>
  </cols>
  <sheetData>
    <row r="1" spans="1:20" x14ac:dyDescent="0.25">
      <c r="B1" s="7" t="s">
        <v>20</v>
      </c>
      <c r="C1" s="4">
        <v>150</v>
      </c>
    </row>
    <row r="2" spans="1:20" x14ac:dyDescent="0.25">
      <c r="B2" s="7" t="s">
        <v>19</v>
      </c>
      <c r="C2" s="4">
        <v>30</v>
      </c>
      <c r="F2" s="5" t="s">
        <v>0</v>
      </c>
      <c r="G2" s="12" t="s">
        <v>18</v>
      </c>
      <c r="H2" s="10"/>
      <c r="I2" s="10"/>
      <c r="J2" s="10"/>
      <c r="K2" s="10"/>
      <c r="L2" s="10"/>
      <c r="M2" s="9"/>
      <c r="N2" s="14" t="s">
        <v>15</v>
      </c>
    </row>
    <row r="3" spans="1:20" x14ac:dyDescent="0.25">
      <c r="A3"/>
      <c r="F3" s="5"/>
      <c r="G3" s="13" t="s">
        <v>1</v>
      </c>
      <c r="H3" s="11"/>
      <c r="I3" s="11"/>
      <c r="J3" s="12" t="s">
        <v>2</v>
      </c>
      <c r="K3" s="10"/>
      <c r="L3" s="10"/>
      <c r="N3" s="15" t="s">
        <v>1</v>
      </c>
      <c r="O3" s="6"/>
      <c r="P3" s="6"/>
      <c r="Q3" s="16" t="s">
        <v>2</v>
      </c>
      <c r="T3" s="18" t="s">
        <v>21</v>
      </c>
    </row>
    <row r="4" spans="1:20" x14ac:dyDescent="0.25">
      <c r="A4" s="8" t="s">
        <v>3</v>
      </c>
      <c r="B4" s="8" t="s">
        <v>4</v>
      </c>
      <c r="C4" s="8" t="s">
        <v>5</v>
      </c>
      <c r="D4" s="8" t="s">
        <v>6</v>
      </c>
      <c r="E4" s="8" t="s">
        <v>7</v>
      </c>
      <c r="F4" s="8" t="s">
        <v>8</v>
      </c>
      <c r="G4" s="8" t="s">
        <v>9</v>
      </c>
      <c r="H4" s="8" t="s">
        <v>10</v>
      </c>
      <c r="I4" s="8" t="s">
        <v>13</v>
      </c>
      <c r="J4" s="8" t="s">
        <v>9</v>
      </c>
      <c r="K4" s="8" t="s">
        <v>10</v>
      </c>
      <c r="L4" s="8" t="s">
        <v>13</v>
      </c>
      <c r="M4" s="8" t="s">
        <v>12</v>
      </c>
      <c r="N4" s="8" t="s">
        <v>9</v>
      </c>
      <c r="O4" s="8" t="s">
        <v>10</v>
      </c>
      <c r="P4" s="8" t="s">
        <v>13</v>
      </c>
      <c r="Q4" s="8" t="s">
        <v>9</v>
      </c>
      <c r="R4" s="8" t="s">
        <v>10</v>
      </c>
      <c r="S4" s="8" t="s">
        <v>13</v>
      </c>
      <c r="T4" s="19" t="s">
        <v>22</v>
      </c>
    </row>
    <row r="5" spans="1:20" x14ac:dyDescent="0.25">
      <c r="A5" t="s">
        <v>25</v>
      </c>
      <c r="B5" t="s">
        <v>26</v>
      </c>
      <c r="C5">
        <v>56</v>
      </c>
      <c r="D5" t="s">
        <v>11</v>
      </c>
      <c r="E5">
        <v>1</v>
      </c>
      <c r="F5">
        <v>6001</v>
      </c>
      <c r="G5" s="17">
        <v>89298.437990820006</v>
      </c>
      <c r="H5" s="17">
        <v>65263.396423990001</v>
      </c>
      <c r="I5" s="17">
        <v>2839</v>
      </c>
      <c r="J5" s="17">
        <v>90032.4014914</v>
      </c>
      <c r="K5" s="17">
        <v>64584.207515230002</v>
      </c>
      <c r="L5">
        <v>2852</v>
      </c>
      <c r="T5" s="2" t="s">
        <v>28</v>
      </c>
    </row>
    <row r="6" spans="1:20" x14ac:dyDescent="0.25">
      <c r="A6" t="s">
        <v>25</v>
      </c>
      <c r="B6" t="s">
        <v>26</v>
      </c>
      <c r="C6">
        <v>56</v>
      </c>
      <c r="D6" t="s">
        <v>11</v>
      </c>
      <c r="E6">
        <v>1</v>
      </c>
      <c r="F6">
        <v>6002</v>
      </c>
      <c r="G6" s="17">
        <v>90094.760505054001</v>
      </c>
      <c r="H6" s="17">
        <v>65757.96580885</v>
      </c>
      <c r="I6" s="17">
        <v>2831</v>
      </c>
      <c r="J6" s="17">
        <v>90817.881688020003</v>
      </c>
      <c r="K6" s="17">
        <v>65067.220002720002</v>
      </c>
      <c r="L6">
        <v>2847</v>
      </c>
      <c r="T6" s="2"/>
    </row>
    <row r="7" spans="1:20" x14ac:dyDescent="0.25">
      <c r="A7" t="s">
        <v>25</v>
      </c>
      <c r="B7" t="s">
        <v>26</v>
      </c>
      <c r="C7">
        <v>56</v>
      </c>
      <c r="D7" t="s">
        <v>11</v>
      </c>
      <c r="E7">
        <v>1</v>
      </c>
      <c r="F7">
        <v>6003</v>
      </c>
      <c r="G7" s="17">
        <v>89635.882017662007</v>
      </c>
      <c r="H7" s="17">
        <v>65649.364118180005</v>
      </c>
      <c r="I7" s="17">
        <v>2839</v>
      </c>
      <c r="J7" s="17">
        <v>89027.297712200001</v>
      </c>
      <c r="K7" s="17">
        <v>66312.599336169995</v>
      </c>
      <c r="L7">
        <v>2835</v>
      </c>
      <c r="T7" s="2"/>
    </row>
    <row r="8" spans="1:20" x14ac:dyDescent="0.25">
      <c r="A8" t="s">
        <v>25</v>
      </c>
      <c r="B8" t="s">
        <v>26</v>
      </c>
      <c r="C8">
        <v>56</v>
      </c>
      <c r="D8" t="s">
        <v>11</v>
      </c>
      <c r="E8">
        <v>1</v>
      </c>
      <c r="F8">
        <v>6004</v>
      </c>
      <c r="G8" s="17">
        <v>89965.797021357997</v>
      </c>
      <c r="H8" s="17">
        <v>64713.318428949999</v>
      </c>
      <c r="I8" s="17">
        <v>2839</v>
      </c>
      <c r="J8" s="17">
        <v>90627.633066399998</v>
      </c>
      <c r="K8" s="17">
        <v>64713.318428949999</v>
      </c>
      <c r="L8">
        <v>2851</v>
      </c>
      <c r="T8" s="2" t="s">
        <v>29</v>
      </c>
    </row>
    <row r="9" spans="1:20" x14ac:dyDescent="0.25">
      <c r="A9" t="s">
        <v>25</v>
      </c>
      <c r="B9" t="s">
        <v>26</v>
      </c>
      <c r="C9">
        <v>56</v>
      </c>
      <c r="D9" t="s">
        <v>11</v>
      </c>
      <c r="E9">
        <v>1</v>
      </c>
      <c r="F9">
        <v>6005</v>
      </c>
      <c r="G9" s="17">
        <v>91039.745161992003</v>
      </c>
      <c r="H9" s="17">
        <v>66100.923562290001</v>
      </c>
      <c r="I9" s="17">
        <v>2835</v>
      </c>
      <c r="J9" s="17">
        <v>91768.017616430006</v>
      </c>
      <c r="K9" s="17">
        <v>65572.133214350004</v>
      </c>
      <c r="L9">
        <v>2861</v>
      </c>
      <c r="T9" s="2"/>
    </row>
    <row r="10" spans="1:20" x14ac:dyDescent="0.25">
      <c r="A10" t="s">
        <v>25</v>
      </c>
      <c r="B10" t="s">
        <v>26</v>
      </c>
      <c r="C10">
        <v>124</v>
      </c>
      <c r="D10" t="s">
        <v>11</v>
      </c>
      <c r="F10">
        <v>2355</v>
      </c>
      <c r="G10" s="17">
        <v>90007.762161613005</v>
      </c>
      <c r="H10" s="17">
        <v>76555.073495360004</v>
      </c>
      <c r="I10" s="17">
        <v>2783</v>
      </c>
      <c r="J10" s="17">
        <v>90507.762161613005</v>
      </c>
      <c r="K10" s="17">
        <v>75689.048091570003</v>
      </c>
      <c r="L10">
        <v>2786</v>
      </c>
      <c r="T10" s="2"/>
    </row>
    <row r="11" spans="1:20" x14ac:dyDescent="0.25">
      <c r="A11" t="s">
        <v>25</v>
      </c>
      <c r="B11" t="s">
        <v>26</v>
      </c>
      <c r="C11">
        <v>124</v>
      </c>
      <c r="D11" t="s">
        <v>11</v>
      </c>
      <c r="F11">
        <v>2356</v>
      </c>
      <c r="G11" s="17">
        <v>89748</v>
      </c>
      <c r="H11" s="17">
        <v>77059</v>
      </c>
      <c r="I11" s="17">
        <v>2792</v>
      </c>
      <c r="J11" s="17">
        <v>89248</v>
      </c>
      <c r="K11" s="17">
        <v>77925</v>
      </c>
      <c r="L11">
        <v>2795</v>
      </c>
      <c r="T11" s="2"/>
    </row>
    <row r="12" spans="1:20" x14ac:dyDescent="0.25">
      <c r="A12" t="s">
        <v>25</v>
      </c>
      <c r="B12" t="s">
        <v>26</v>
      </c>
      <c r="C12">
        <v>124</v>
      </c>
      <c r="D12" t="s">
        <v>11</v>
      </c>
      <c r="F12">
        <v>2357</v>
      </c>
      <c r="G12" s="17">
        <v>90142</v>
      </c>
      <c r="H12" s="17">
        <v>75524</v>
      </c>
      <c r="I12" s="17">
        <v>2782</v>
      </c>
      <c r="J12" s="17">
        <v>90642</v>
      </c>
      <c r="K12" s="17">
        <v>74658</v>
      </c>
      <c r="L12">
        <v>2789</v>
      </c>
      <c r="T12" s="2"/>
    </row>
    <row r="13" spans="1:20" x14ac:dyDescent="0.25">
      <c r="A13" t="s">
        <v>25</v>
      </c>
      <c r="B13" t="s">
        <v>26</v>
      </c>
      <c r="C13">
        <v>124</v>
      </c>
      <c r="D13" t="s">
        <v>11</v>
      </c>
      <c r="F13">
        <v>2358</v>
      </c>
      <c r="G13" s="17">
        <v>89324.247266348</v>
      </c>
      <c r="H13" s="17">
        <v>75978.812494430007</v>
      </c>
      <c r="I13" s="17">
        <v>2767</v>
      </c>
      <c r="J13" s="17">
        <v>89824.247266348</v>
      </c>
      <c r="K13" s="17">
        <v>75112.789065000004</v>
      </c>
      <c r="L13">
        <v>2775</v>
      </c>
      <c r="T13" s="2"/>
    </row>
    <row r="14" spans="1:20" x14ac:dyDescent="0.25">
      <c r="A14" t="s">
        <v>25</v>
      </c>
      <c r="B14" t="s">
        <v>26</v>
      </c>
      <c r="C14">
        <v>124</v>
      </c>
      <c r="D14" t="s">
        <v>11</v>
      </c>
      <c r="F14">
        <v>2359</v>
      </c>
      <c r="G14" s="17">
        <v>90224</v>
      </c>
      <c r="H14" s="17">
        <v>77046</v>
      </c>
      <c r="I14" s="17">
        <v>2798</v>
      </c>
      <c r="J14" s="17">
        <v>90724</v>
      </c>
      <c r="K14" s="17">
        <v>76180</v>
      </c>
      <c r="L14">
        <v>2791</v>
      </c>
      <c r="T14" s="2"/>
    </row>
    <row r="15" spans="1:20" x14ac:dyDescent="0.25">
      <c r="A15" t="s">
        <v>25</v>
      </c>
      <c r="B15" t="s">
        <v>26</v>
      </c>
      <c r="C15">
        <v>124</v>
      </c>
      <c r="D15" t="s">
        <v>11</v>
      </c>
      <c r="F15">
        <v>2360</v>
      </c>
      <c r="G15" s="17">
        <v>89016.292207631006</v>
      </c>
      <c r="H15" s="17">
        <v>76475.298783470003</v>
      </c>
      <c r="I15" s="17">
        <v>2762</v>
      </c>
      <c r="J15" s="17">
        <v>88516.292207631006</v>
      </c>
      <c r="K15" s="17">
        <v>77341.324187249993</v>
      </c>
      <c r="L15">
        <v>2791</v>
      </c>
      <c r="S15" t="str">
        <f>IF(G15=G14,"!!!!","")</f>
        <v/>
      </c>
      <c r="T15" s="2"/>
    </row>
    <row r="16" spans="1:20" x14ac:dyDescent="0.25">
      <c r="A16" t="s">
        <v>25</v>
      </c>
      <c r="B16" t="s">
        <v>26</v>
      </c>
      <c r="C16">
        <v>124</v>
      </c>
      <c r="D16" t="s">
        <v>11</v>
      </c>
      <c r="F16">
        <v>2361</v>
      </c>
      <c r="G16" s="17">
        <v>90857</v>
      </c>
      <c r="H16" s="17">
        <v>76868</v>
      </c>
      <c r="I16" s="17">
        <v>2788</v>
      </c>
      <c r="J16" s="17">
        <v>91357</v>
      </c>
      <c r="K16" s="17">
        <v>76002</v>
      </c>
      <c r="L16">
        <v>2801</v>
      </c>
      <c r="T16" s="2"/>
    </row>
    <row r="17" spans="1:20" x14ac:dyDescent="0.25">
      <c r="A17" t="s">
        <v>25</v>
      </c>
      <c r="B17" t="s">
        <v>26</v>
      </c>
      <c r="C17">
        <v>124</v>
      </c>
      <c r="D17" t="s">
        <v>11</v>
      </c>
      <c r="F17">
        <v>2362</v>
      </c>
      <c r="G17" s="17">
        <v>89016.139084256007</v>
      </c>
      <c r="H17" s="17">
        <v>77383.841404420004</v>
      </c>
      <c r="I17" s="17">
        <v>2781</v>
      </c>
      <c r="J17" s="17">
        <v>88516.139084256007</v>
      </c>
      <c r="K17" s="17">
        <v>78249.866808210005</v>
      </c>
      <c r="L17">
        <v>2788</v>
      </c>
      <c r="T17" s="2"/>
    </row>
    <row r="18" spans="1:20" x14ac:dyDescent="0.25">
      <c r="A18" t="s">
        <v>25</v>
      </c>
      <c r="B18" t="s">
        <v>26</v>
      </c>
      <c r="C18">
        <v>124</v>
      </c>
      <c r="D18" t="s">
        <v>11</v>
      </c>
      <c r="F18">
        <v>2363</v>
      </c>
      <c r="G18" s="17">
        <v>90625</v>
      </c>
      <c r="H18" s="17">
        <v>77270</v>
      </c>
      <c r="I18" s="17">
        <v>2792</v>
      </c>
      <c r="J18" s="17">
        <v>90125</v>
      </c>
      <c r="K18" s="17">
        <v>78136</v>
      </c>
      <c r="L18">
        <v>2800</v>
      </c>
      <c r="T18" s="2"/>
    </row>
    <row r="19" spans="1:20" x14ac:dyDescent="0.25">
      <c r="A19" t="s">
        <v>27</v>
      </c>
      <c r="B19" t="s">
        <v>26</v>
      </c>
      <c r="C19" t="s">
        <v>16</v>
      </c>
      <c r="D19" t="s">
        <v>14</v>
      </c>
      <c r="E19">
        <v>1</v>
      </c>
      <c r="F19">
        <v>1</v>
      </c>
      <c r="G19" s="17">
        <v>90560</v>
      </c>
      <c r="H19" s="17">
        <v>70013</v>
      </c>
      <c r="I19" s="17">
        <v>2585</v>
      </c>
      <c r="J19" s="17">
        <v>91480</v>
      </c>
      <c r="K19" s="17">
        <v>70403</v>
      </c>
      <c r="L19">
        <v>2592</v>
      </c>
      <c r="T19" s="2"/>
    </row>
    <row r="20" spans="1:20" x14ac:dyDescent="0.25">
      <c r="A20" t="s">
        <v>27</v>
      </c>
      <c r="B20" t="s">
        <v>26</v>
      </c>
      <c r="C20" t="s">
        <v>16</v>
      </c>
      <c r="D20" t="s">
        <v>14</v>
      </c>
      <c r="E20">
        <v>1</v>
      </c>
      <c r="F20">
        <v>2</v>
      </c>
      <c r="G20" s="17">
        <v>90404</v>
      </c>
      <c r="H20" s="17">
        <v>71973</v>
      </c>
      <c r="I20" s="17">
        <v>2602</v>
      </c>
      <c r="J20" s="17">
        <v>91311</v>
      </c>
      <c r="K20" s="17">
        <v>72396</v>
      </c>
      <c r="L20">
        <v>2610</v>
      </c>
      <c r="T20" s="2"/>
    </row>
    <row r="21" spans="1:20" x14ac:dyDescent="0.25">
      <c r="A21" t="s">
        <v>27</v>
      </c>
      <c r="B21" t="s">
        <v>26</v>
      </c>
      <c r="C21" t="s">
        <v>16</v>
      </c>
      <c r="D21" t="s">
        <v>14</v>
      </c>
      <c r="E21">
        <v>1</v>
      </c>
      <c r="F21">
        <v>3</v>
      </c>
      <c r="G21" s="17">
        <v>89645</v>
      </c>
      <c r="H21" s="17">
        <v>69258</v>
      </c>
      <c r="I21" s="17">
        <v>2590</v>
      </c>
      <c r="J21" s="17">
        <v>90590</v>
      </c>
      <c r="K21" s="17">
        <v>69583</v>
      </c>
      <c r="L21">
        <v>2580</v>
      </c>
      <c r="T21" s="2"/>
    </row>
    <row r="22" spans="1:20" x14ac:dyDescent="0.25">
      <c r="A22" t="s">
        <v>27</v>
      </c>
      <c r="B22" t="s">
        <v>26</v>
      </c>
      <c r="C22" t="s">
        <v>16</v>
      </c>
      <c r="D22" t="s">
        <v>14</v>
      </c>
      <c r="E22">
        <v>1</v>
      </c>
      <c r="F22">
        <v>4</v>
      </c>
      <c r="G22" s="17">
        <v>90499</v>
      </c>
      <c r="H22" s="17">
        <v>70976</v>
      </c>
      <c r="I22" s="17">
        <v>2591</v>
      </c>
      <c r="J22" s="17">
        <v>91251</v>
      </c>
      <c r="K22" s="17">
        <v>71250</v>
      </c>
      <c r="L22">
        <v>2603</v>
      </c>
      <c r="T22" s="2"/>
    </row>
    <row r="23" spans="1:20" x14ac:dyDescent="0.25">
      <c r="A23" t="s">
        <v>27</v>
      </c>
      <c r="B23" t="s">
        <v>26</v>
      </c>
      <c r="C23" t="s">
        <v>16</v>
      </c>
      <c r="D23" t="s">
        <v>14</v>
      </c>
      <c r="E23">
        <v>1</v>
      </c>
      <c r="F23">
        <v>5</v>
      </c>
      <c r="G23" s="17">
        <v>90573</v>
      </c>
      <c r="H23" s="17">
        <v>70539</v>
      </c>
      <c r="I23" s="17">
        <v>2587</v>
      </c>
      <c r="J23" s="17">
        <v>91320</v>
      </c>
      <c r="K23" s="17">
        <v>70826</v>
      </c>
      <c r="L23">
        <v>2600</v>
      </c>
      <c r="T23" s="2"/>
    </row>
    <row r="24" spans="1:20" x14ac:dyDescent="0.25">
      <c r="A24" t="s">
        <v>27</v>
      </c>
      <c r="B24" t="s">
        <v>26</v>
      </c>
      <c r="C24" t="s">
        <v>17</v>
      </c>
      <c r="D24" t="s">
        <v>14</v>
      </c>
      <c r="E24">
        <v>1</v>
      </c>
      <c r="F24">
        <v>6</v>
      </c>
      <c r="G24" s="17">
        <v>91022</v>
      </c>
      <c r="H24" s="17">
        <v>67643</v>
      </c>
      <c r="I24" s="17">
        <v>2605</v>
      </c>
      <c r="J24" s="17">
        <v>92021</v>
      </c>
      <c r="K24" s="17">
        <v>67677</v>
      </c>
      <c r="L24">
        <v>2612</v>
      </c>
      <c r="T24" s="2"/>
    </row>
    <row r="25" spans="1:20" x14ac:dyDescent="0.25">
      <c r="A25" t="s">
        <v>27</v>
      </c>
      <c r="B25" t="s">
        <v>26</v>
      </c>
      <c r="C25" t="s">
        <v>17</v>
      </c>
      <c r="D25" t="s">
        <v>14</v>
      </c>
      <c r="E25">
        <v>1</v>
      </c>
      <c r="F25">
        <v>7</v>
      </c>
      <c r="G25" s="17">
        <v>90943</v>
      </c>
      <c r="H25" s="17">
        <v>68087</v>
      </c>
      <c r="I25" s="17">
        <v>2595</v>
      </c>
      <c r="J25" s="17">
        <v>91933</v>
      </c>
      <c r="K25" s="17">
        <v>68226</v>
      </c>
      <c r="L25">
        <v>2602</v>
      </c>
      <c r="T25" s="2"/>
    </row>
    <row r="26" spans="1:20" x14ac:dyDescent="0.25">
      <c r="A26" t="s">
        <v>27</v>
      </c>
      <c r="B26" t="s">
        <v>26</v>
      </c>
      <c r="C26" t="s">
        <v>17</v>
      </c>
      <c r="D26" t="s">
        <v>14</v>
      </c>
      <c r="E26">
        <v>1</v>
      </c>
      <c r="F26">
        <v>8</v>
      </c>
      <c r="G26" s="17">
        <v>89860</v>
      </c>
      <c r="H26" s="17">
        <v>67418</v>
      </c>
      <c r="I26" s="17">
        <v>2616</v>
      </c>
      <c r="J26" s="17">
        <v>90838</v>
      </c>
      <c r="K26" s="17">
        <v>67626</v>
      </c>
      <c r="L26">
        <v>2605</v>
      </c>
      <c r="T26" s="2"/>
    </row>
    <row r="27" spans="1:20" x14ac:dyDescent="0.25">
      <c r="A27" t="s">
        <v>27</v>
      </c>
      <c r="B27" t="s">
        <v>26</v>
      </c>
      <c r="C27" t="s">
        <v>16</v>
      </c>
      <c r="D27" t="s">
        <v>14</v>
      </c>
      <c r="E27">
        <v>1</v>
      </c>
      <c r="F27">
        <v>9</v>
      </c>
      <c r="G27" s="17">
        <v>90531</v>
      </c>
      <c r="H27" s="17">
        <v>71440</v>
      </c>
      <c r="I27" s="17">
        <v>2595</v>
      </c>
      <c r="J27" s="17">
        <v>91256</v>
      </c>
      <c r="K27" s="17">
        <v>71778</v>
      </c>
      <c r="L27">
        <v>2620</v>
      </c>
      <c r="T27" s="2"/>
    </row>
    <row r="28" spans="1:20" x14ac:dyDescent="0.25">
      <c r="A28" t="s">
        <v>27</v>
      </c>
      <c r="B28" t="s">
        <v>26</v>
      </c>
      <c r="C28" t="s">
        <v>17</v>
      </c>
      <c r="D28" t="s">
        <v>14</v>
      </c>
      <c r="E28">
        <v>1</v>
      </c>
      <c r="F28">
        <v>10</v>
      </c>
      <c r="G28" s="17">
        <v>89494</v>
      </c>
      <c r="H28" s="17">
        <v>68663</v>
      </c>
      <c r="I28" s="17">
        <v>2592</v>
      </c>
      <c r="J28" s="17">
        <v>90434</v>
      </c>
      <c r="K28" s="17">
        <v>69005</v>
      </c>
      <c r="L28">
        <v>2590</v>
      </c>
      <c r="T28" s="2"/>
    </row>
    <row r="29" spans="1:20" x14ac:dyDescent="0.25">
      <c r="A29" t="s">
        <v>27</v>
      </c>
      <c r="B29" t="s">
        <v>26</v>
      </c>
      <c r="C29" t="s">
        <v>17</v>
      </c>
      <c r="D29" t="s">
        <v>14</v>
      </c>
      <c r="E29">
        <v>1</v>
      </c>
      <c r="F29">
        <v>11</v>
      </c>
      <c r="G29" s="17">
        <v>89584</v>
      </c>
      <c r="H29" s="17">
        <v>68246</v>
      </c>
      <c r="I29" s="17">
        <v>2596</v>
      </c>
      <c r="J29" s="17">
        <v>90523</v>
      </c>
      <c r="K29" s="17">
        <v>68588</v>
      </c>
      <c r="L29">
        <v>2594</v>
      </c>
      <c r="T29" s="2"/>
    </row>
    <row r="30" spans="1:20" x14ac:dyDescent="0.25">
      <c r="A30" t="s">
        <v>27</v>
      </c>
      <c r="B30" t="s">
        <v>26</v>
      </c>
      <c r="C30" t="s">
        <v>17</v>
      </c>
      <c r="D30" t="s">
        <v>14</v>
      </c>
      <c r="E30">
        <v>1</v>
      </c>
      <c r="F30">
        <v>12</v>
      </c>
      <c r="G30" s="17">
        <v>90915</v>
      </c>
      <c r="H30" s="17">
        <v>68598</v>
      </c>
      <c r="I30" s="17">
        <v>2588</v>
      </c>
      <c r="J30" s="17">
        <v>91893</v>
      </c>
      <c r="K30" s="17">
        <v>68806</v>
      </c>
      <c r="L30">
        <v>2595</v>
      </c>
      <c r="T30" s="2"/>
    </row>
  </sheetData>
  <autoFilter ref="A4:T3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Intersection">
                <anchor moveWithCells="1" sizeWithCells="1">
                  <from>
                    <xdr:col>3</xdr:col>
                    <xdr:colOff>448574</xdr:colOff>
                    <xdr:row>0</xdr:row>
                    <xdr:rowOff>0</xdr:rowOff>
                  </from>
                  <to>
                    <xdr:col>5</xdr:col>
                    <xdr:colOff>310551</xdr:colOff>
                    <xdr:row>1</xdr:row>
                    <xdr:rowOff>181155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6" sqref="B6"/>
    </sheetView>
  </sheetViews>
  <sheetFormatPr defaultRowHeight="14.3" x14ac:dyDescent="0.25"/>
  <cols>
    <col min="1" max="1" width="18" customWidth="1"/>
    <col min="2" max="2" width="14.125" customWidth="1"/>
    <col min="3" max="3" width="16.125" customWidth="1"/>
  </cols>
  <sheetData>
    <row r="1" spans="1:3" ht="28.55" x14ac:dyDescent="0.25">
      <c r="A1" s="20" t="s">
        <v>4</v>
      </c>
      <c r="B1" s="20" t="s">
        <v>23</v>
      </c>
      <c r="C1" s="20" t="s">
        <v>24</v>
      </c>
    </row>
    <row r="2" spans="1:3" x14ac:dyDescent="0.25">
      <c r="A2" t="s">
        <v>26</v>
      </c>
      <c r="B2">
        <v>1</v>
      </c>
      <c r="C2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База перспективы</vt:lpstr>
      <vt:lpstr>Статистика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2025-08-04T10:13:26Z</dcterms:modified>
</cp:coreProperties>
</file>